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CFE9ARx4j+GZixw2mBrob4esmBWvbWJXQrQdwn1qzs="/>
    </ext>
  </extLst>
</workbook>
</file>

<file path=xl/sharedStrings.xml><?xml version="1.0" encoding="utf-8"?>
<sst xmlns="http://schemas.openxmlformats.org/spreadsheetml/2006/main" count="71" uniqueCount="69">
  <si>
    <t>Taller de Automoviles</t>
  </si>
  <si>
    <t>Bur-Service</t>
  </si>
  <si>
    <t>Rafael Maluenda 963</t>
  </si>
  <si>
    <t>Mecanica - Desabolladura</t>
  </si>
  <si>
    <t>Fono: 2 529 54 00</t>
  </si>
  <si>
    <t>Av. Padre Hurtado ALT. 11700</t>
  </si>
  <si>
    <t>Pintura poliuretano al horno</t>
  </si>
  <si>
    <t>Cel.: 09 879 59 61</t>
  </si>
  <si>
    <t>El Bosque</t>
  </si>
  <si>
    <t>Email: BurService@gmail.com</t>
  </si>
  <si>
    <t>(Ex. Los Morros)</t>
  </si>
  <si>
    <t>Presupuesto</t>
  </si>
  <si>
    <t>Santiago,</t>
  </si>
  <si>
    <t>Nombre:</t>
  </si>
  <si>
    <t>nombre cliente</t>
  </si>
  <si>
    <t>R.U.T:</t>
  </si>
  <si>
    <t>Dirección:</t>
  </si>
  <si>
    <t>Telefono:</t>
  </si>
  <si>
    <t>Marca:</t>
  </si>
  <si>
    <t>Volex</t>
  </si>
  <si>
    <t xml:space="preserve">Color:   </t>
  </si>
  <si>
    <t>Rojo</t>
  </si>
  <si>
    <t>Fecha entrega:</t>
  </si>
  <si>
    <t>Modelo:</t>
  </si>
  <si>
    <t>C30</t>
  </si>
  <si>
    <t>Patente:</t>
  </si>
  <si>
    <t>Año vehiculo:</t>
  </si>
  <si>
    <t>Repuestos</t>
  </si>
  <si>
    <t>Precio</t>
  </si>
  <si>
    <t>Desabolladura</t>
  </si>
  <si>
    <t>Capot</t>
  </si>
  <si>
    <t>Puerta izquerda</t>
  </si>
  <si>
    <t>Mensula izquerda</t>
  </si>
  <si>
    <t>Tapabarro izquerdo</t>
  </si>
  <si>
    <t>Radiador</t>
  </si>
  <si>
    <t>Frontal</t>
  </si>
  <si>
    <t>Electro completo</t>
  </si>
  <si>
    <t xml:space="preserve">Tirante </t>
  </si>
  <si>
    <t>Soporte parachoque</t>
  </si>
  <si>
    <t>Nisagra capot</t>
  </si>
  <si>
    <t>Frontal inferior</t>
  </si>
  <si>
    <t xml:space="preserve">Parachoque trasero </t>
  </si>
  <si>
    <t>Bafle izquerdo</t>
  </si>
  <si>
    <t xml:space="preserve">Costado izquerdo </t>
  </si>
  <si>
    <t>Soporte chasis izquerdo</t>
  </si>
  <si>
    <t>Guardafango izquerdo</t>
  </si>
  <si>
    <t>Neblinero izquerdo</t>
  </si>
  <si>
    <t>Pilar derecho e izquerdo</t>
  </si>
  <si>
    <t xml:space="preserve">Guardafango plastico izquerdo </t>
  </si>
  <si>
    <t xml:space="preserve">Mascara superior Con logo </t>
  </si>
  <si>
    <t>Cañeria 1 A/C</t>
  </si>
  <si>
    <t>Pintura</t>
  </si>
  <si>
    <t xml:space="preserve">Parabrisa </t>
  </si>
  <si>
    <t>2 tapabarros</t>
  </si>
  <si>
    <t>Espejo derecho</t>
  </si>
  <si>
    <t>Tapa neblinero izquerda</t>
  </si>
  <si>
    <t>Parachoques delantero y trasero</t>
  </si>
  <si>
    <t>Mascara parachoque inferior</t>
  </si>
  <si>
    <t>15 broches</t>
  </si>
  <si>
    <t>Costado izquerdo</t>
  </si>
  <si>
    <t xml:space="preserve">Panel trasero </t>
  </si>
  <si>
    <t>Mecánica</t>
  </si>
  <si>
    <t>Instalar radiador</t>
  </si>
  <si>
    <t>Electro</t>
  </si>
  <si>
    <t>REPUESTOS</t>
  </si>
  <si>
    <t>OBRA DE MANO</t>
  </si>
  <si>
    <t>SUBTOTAL</t>
  </si>
  <si>
    <t xml:space="preserve">IMPUESTO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</si>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</sst>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340A]d&quot; de &quot;mmmm&quot; de &quot;yyyy"/>
    <numFmt numFmtId="165" formatCode="#,##0;[Red]#,##0"/>
  </numFmts>
  <fonts count="11">
    <font>
      <sz val="11.0"/>
      <color theme="1"/>
      <name val="Calibri"/>
      <scheme val="minor"/>
    </font>
    <font>
      <b/>
      <sz val="20.0"/>
      <color theme="1"/>
      <name val="Calibri"/>
    </font>
    <font>
      <b/>
      <i/>
      <sz val="2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b/>
      <sz val="14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top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7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1" fillId="0" fontId="8" numFmtId="0" xfId="0" applyBorder="1" applyFont="1"/>
    <xf borderId="2" fillId="0" fontId="7" numFmtId="0" xfId="0" applyAlignment="1" applyBorder="1" applyFont="1">
      <alignment horizontal="left" readingOrder="0"/>
    </xf>
    <xf borderId="2" fillId="0" fontId="9" numFmtId="0" xfId="0" applyBorder="1" applyFont="1"/>
    <xf borderId="3" fillId="0" fontId="9" numFmtId="0" xfId="0" applyBorder="1" applyFont="1"/>
    <xf borderId="2" fillId="0" fontId="7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4" fillId="0" fontId="8" numFmtId="0" xfId="0" applyBorder="1" applyFont="1"/>
    <xf borderId="5" fillId="0" fontId="7" numFmtId="0" xfId="0" applyAlignment="1" applyBorder="1" applyFont="1">
      <alignment horizontal="left"/>
    </xf>
    <xf borderId="6" fillId="0" fontId="8" numFmtId="0" xfId="0" applyAlignment="1" applyBorder="1" applyFont="1">
      <alignment horizontal="center"/>
    </xf>
    <xf borderId="7" fillId="0" fontId="9" numFmtId="0" xfId="0" applyBorder="1" applyFont="1"/>
    <xf borderId="8" fillId="0" fontId="9" numFmtId="0" xfId="0" applyBorder="1" applyFont="1"/>
    <xf borderId="9" fillId="0" fontId="8" numFmtId="0" xfId="0" applyAlignment="1" applyBorder="1" applyFont="1">
      <alignment horizontal="center"/>
    </xf>
    <xf borderId="10" fillId="0" fontId="7" numFmtId="0" xfId="0" applyAlignment="1" applyBorder="1" applyFont="1">
      <alignment horizontal="left"/>
    </xf>
    <xf borderId="11" fillId="0" fontId="9" numFmtId="0" xfId="0" applyBorder="1" applyFont="1"/>
    <xf borderId="5" fillId="0" fontId="9" numFmtId="0" xfId="0" applyBorder="1" applyFont="1"/>
    <xf borderId="12" fillId="0" fontId="7" numFmtId="3" xfId="0" applyAlignment="1" applyBorder="1" applyFont="1" applyNumberFormat="1">
      <alignment horizontal="right" readingOrder="0"/>
    </xf>
    <xf borderId="4" fillId="0" fontId="7" numFmtId="0" xfId="0" applyAlignment="1" applyBorder="1" applyFont="1">
      <alignment horizontal="left"/>
    </xf>
    <xf borderId="13" fillId="0" fontId="9" numFmtId="0" xfId="0" applyBorder="1" applyFont="1"/>
    <xf borderId="14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/>
    </xf>
    <xf borderId="15" fillId="0" fontId="9" numFmtId="0" xfId="0" applyBorder="1" applyFont="1"/>
    <xf borderId="16" fillId="0" fontId="7" numFmtId="0" xfId="0" applyAlignment="1" applyBorder="1" applyFont="1">
      <alignment horizontal="left"/>
    </xf>
    <xf borderId="17" fillId="0" fontId="9" numFmtId="0" xfId="0" applyBorder="1" applyFont="1"/>
    <xf borderId="18" fillId="0" fontId="9" numFmtId="0" xfId="0" applyBorder="1" applyFont="1"/>
    <xf borderId="12" fillId="0" fontId="7" numFmtId="3" xfId="0" applyAlignment="1" applyBorder="1" applyFont="1" applyNumberFormat="1">
      <alignment horizontal="right"/>
    </xf>
    <xf borderId="14" fillId="0" fontId="10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19" fillId="0" fontId="7" numFmtId="0" xfId="0" applyAlignment="1" applyBorder="1" applyFont="1">
      <alignment horizontal="left"/>
    </xf>
    <xf borderId="20" fillId="0" fontId="9" numFmtId="0" xfId="0" applyBorder="1" applyFont="1"/>
    <xf borderId="21" fillId="0" fontId="9" numFmtId="0" xfId="0" applyBorder="1" applyFont="1"/>
    <xf borderId="22" fillId="0" fontId="7" numFmtId="0" xfId="0" applyAlignment="1" applyBorder="1" applyFont="1">
      <alignment horizontal="left"/>
    </xf>
    <xf borderId="23" fillId="0" fontId="9" numFmtId="0" xfId="0" applyBorder="1" applyFont="1"/>
    <xf borderId="24" fillId="0" fontId="9" numFmtId="0" xfId="0" applyBorder="1" applyFont="1"/>
    <xf borderId="25" fillId="0" fontId="7" numFmtId="3" xfId="0" applyAlignment="1" applyBorder="1" applyFont="1" applyNumberFormat="1">
      <alignment horizontal="right"/>
    </xf>
    <xf borderId="26" fillId="0" fontId="7" numFmtId="0" xfId="0" applyAlignment="1" applyBorder="1" applyFont="1">
      <alignment horizontal="left"/>
    </xf>
    <xf borderId="27" fillId="0" fontId="9" numFmtId="0" xfId="0" applyBorder="1" applyFont="1"/>
    <xf borderId="28" fillId="0" fontId="7" numFmtId="0" xfId="0" applyAlignment="1" applyBorder="1" applyFont="1">
      <alignment horizontal="left"/>
    </xf>
    <xf borderId="29" fillId="0" fontId="9" numFmtId="0" xfId="0" applyBorder="1" applyFont="1"/>
    <xf borderId="30" fillId="0" fontId="7" numFmtId="165" xfId="0" applyBorder="1" applyFont="1" applyNumberFormat="1"/>
    <xf borderId="31" fillId="0" fontId="7" numFmtId="165" xfId="0" applyBorder="1" applyFont="1" applyNumberFormat="1"/>
    <xf borderId="14" fillId="0" fontId="7" numFmtId="0" xfId="0" applyBorder="1" applyFont="1"/>
    <xf borderId="3" fillId="0" fontId="7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0.71"/>
    <col customWidth="1" min="6" max="6" width="14.0"/>
    <col customWidth="1" min="7" max="7" width="4.71"/>
    <col customWidth="1" min="8" max="8" width="17.0"/>
    <col customWidth="1" min="9" max="26" width="10.71"/>
  </cols>
  <sheetData>
    <row r="1">
      <c r="C1" s="1" t="s">
        <v>0</v>
      </c>
    </row>
    <row r="2">
      <c r="C2" s="2"/>
      <c r="D2" s="3" t="s">
        <v>1</v>
      </c>
      <c r="F2" s="2"/>
    </row>
    <row r="3">
      <c r="A3" s="4" t="s">
        <v>2</v>
      </c>
      <c r="B3" s="4"/>
      <c r="C3" s="5"/>
      <c r="D3" s="6" t="s">
        <v>3</v>
      </c>
      <c r="F3" s="7"/>
      <c r="G3" s="8" t="s">
        <v>4</v>
      </c>
    </row>
    <row r="4">
      <c r="A4" s="4" t="s">
        <v>5</v>
      </c>
      <c r="B4" s="4"/>
      <c r="C4" s="5"/>
      <c r="D4" s="6" t="s">
        <v>6</v>
      </c>
      <c r="F4" s="7"/>
      <c r="G4" s="8" t="s">
        <v>7</v>
      </c>
    </row>
    <row r="5" ht="15.0" customHeight="1">
      <c r="A5" s="4" t="s">
        <v>8</v>
      </c>
      <c r="B5" s="4"/>
      <c r="C5" s="5"/>
      <c r="D5" s="9"/>
      <c r="E5" s="10"/>
      <c r="F5" s="8" t="s">
        <v>9</v>
      </c>
    </row>
    <row r="6">
      <c r="A6" s="11" t="s">
        <v>10</v>
      </c>
      <c r="B6" s="4"/>
      <c r="C6" s="5"/>
      <c r="D6" s="12" t="s">
        <v>11</v>
      </c>
      <c r="F6" s="13"/>
      <c r="G6" s="5"/>
      <c r="H6" s="5"/>
    </row>
    <row r="7">
      <c r="B7" s="14"/>
    </row>
    <row r="8">
      <c r="A8" s="15" t="s">
        <v>12</v>
      </c>
      <c r="B8" s="14">
        <f>TODAY()</f>
        <v>46084</v>
      </c>
      <c r="E8" s="16"/>
      <c r="F8" s="16"/>
    </row>
    <row r="10">
      <c r="A10" s="17" t="s">
        <v>13</v>
      </c>
      <c r="B10" s="18" t="s">
        <v>14</v>
      </c>
      <c r="C10" s="19"/>
      <c r="D10" s="19"/>
      <c r="E10" s="20"/>
      <c r="F10" s="17" t="s">
        <v>15</v>
      </c>
      <c r="G10" s="21"/>
      <c r="H10" s="20"/>
    </row>
    <row r="11">
      <c r="A11" s="17" t="s">
        <v>16</v>
      </c>
      <c r="B11" s="21"/>
      <c r="C11" s="19"/>
      <c r="D11" s="19"/>
      <c r="E11" s="20"/>
      <c r="F11" s="17" t="s">
        <v>17</v>
      </c>
      <c r="G11" s="21"/>
      <c r="H11" s="20"/>
    </row>
    <row r="12">
      <c r="A12" s="17" t="s">
        <v>18</v>
      </c>
      <c r="B12" s="21" t="s">
        <v>19</v>
      </c>
      <c r="C12" s="20"/>
      <c r="D12" s="17" t="s">
        <v>20</v>
      </c>
      <c r="E12" s="22" t="s">
        <v>21</v>
      </c>
      <c r="F12" s="23" t="s">
        <v>22</v>
      </c>
      <c r="G12" s="21"/>
      <c r="H12" s="20"/>
    </row>
    <row r="13">
      <c r="A13" s="17" t="s">
        <v>23</v>
      </c>
      <c r="B13" s="21" t="s">
        <v>24</v>
      </c>
      <c r="C13" s="20"/>
      <c r="D13" s="24" t="s">
        <v>25</v>
      </c>
      <c r="E13" s="25"/>
      <c r="F13" s="17" t="s">
        <v>26</v>
      </c>
      <c r="G13" s="21">
        <v>2015.0</v>
      </c>
      <c r="H13" s="20"/>
    </row>
    <row r="15">
      <c r="A15" s="26" t="s">
        <v>27</v>
      </c>
      <c r="B15" s="27"/>
      <c r="C15" s="27"/>
      <c r="D15" s="28"/>
      <c r="E15" s="29" t="s">
        <v>28</v>
      </c>
      <c r="F15" s="26" t="s">
        <v>29</v>
      </c>
      <c r="G15" s="27"/>
      <c r="H15" s="28"/>
    </row>
    <row r="16">
      <c r="A16" s="30" t="s">
        <v>30</v>
      </c>
      <c r="B16" s="31"/>
      <c r="C16" s="31"/>
      <c r="D16" s="32"/>
      <c r="E16" s="33">
        <v>10000.0</v>
      </c>
      <c r="F16" s="34" t="s">
        <v>31</v>
      </c>
      <c r="G16" s="31"/>
      <c r="H16" s="35"/>
    </row>
    <row r="17">
      <c r="A17" s="36" t="s">
        <v>32</v>
      </c>
      <c r="B17" s="19"/>
      <c r="C17" s="19"/>
      <c r="D17" s="20"/>
      <c r="E17" s="33">
        <v>10000.0</v>
      </c>
      <c r="F17" s="37" t="s">
        <v>33</v>
      </c>
      <c r="G17" s="19"/>
      <c r="H17" s="38"/>
    </row>
    <row r="18">
      <c r="A18" s="36" t="s">
        <v>34</v>
      </c>
      <c r="B18" s="19"/>
      <c r="C18" s="19"/>
      <c r="D18" s="20"/>
      <c r="E18" s="33">
        <v>10000.0</v>
      </c>
      <c r="F18" s="37" t="s">
        <v>35</v>
      </c>
      <c r="G18" s="19"/>
      <c r="H18" s="38"/>
    </row>
    <row r="19">
      <c r="A19" s="36" t="s">
        <v>36</v>
      </c>
      <c r="B19" s="19"/>
      <c r="C19" s="19"/>
      <c r="D19" s="20"/>
      <c r="E19" s="33">
        <v>10000.0</v>
      </c>
      <c r="F19" s="37" t="s">
        <v>37</v>
      </c>
      <c r="G19" s="19"/>
      <c r="H19" s="38"/>
    </row>
    <row r="20">
      <c r="A20" s="36" t="s">
        <v>38</v>
      </c>
      <c r="B20" s="19"/>
      <c r="C20" s="19"/>
      <c r="D20" s="20"/>
      <c r="E20" s="33">
        <v>10000.0</v>
      </c>
      <c r="F20" s="37" t="s">
        <v>39</v>
      </c>
      <c r="G20" s="19"/>
      <c r="H20" s="38"/>
    </row>
    <row r="21" ht="15.75" customHeight="1">
      <c r="A21" s="36" t="s">
        <v>40</v>
      </c>
      <c r="B21" s="19"/>
      <c r="C21" s="19"/>
      <c r="D21" s="20"/>
      <c r="E21" s="33">
        <v>10000.0</v>
      </c>
      <c r="F21" s="37" t="s">
        <v>41</v>
      </c>
      <c r="G21" s="19"/>
      <c r="H21" s="38"/>
    </row>
    <row r="22" ht="15.75" customHeight="1">
      <c r="A22" s="36" t="s">
        <v>42</v>
      </c>
      <c r="B22" s="19"/>
      <c r="C22" s="19"/>
      <c r="D22" s="20"/>
      <c r="E22" s="33">
        <v>10000.0</v>
      </c>
      <c r="F22" s="37" t="s">
        <v>43</v>
      </c>
      <c r="G22" s="19"/>
      <c r="H22" s="38"/>
    </row>
    <row r="23" ht="15.75" customHeight="1">
      <c r="A23" s="36" t="s">
        <v>44</v>
      </c>
      <c r="B23" s="19"/>
      <c r="C23" s="19"/>
      <c r="D23" s="20"/>
      <c r="E23" s="33">
        <v>10000.0</v>
      </c>
      <c r="F23" s="37" t="s">
        <v>45</v>
      </c>
      <c r="G23" s="19"/>
      <c r="H23" s="38"/>
    </row>
    <row r="24" ht="15.75" customHeight="1">
      <c r="A24" s="36" t="s">
        <v>46</v>
      </c>
      <c r="B24" s="19"/>
      <c r="C24" s="19"/>
      <c r="D24" s="20"/>
      <c r="E24" s="33">
        <v>10000.0</v>
      </c>
      <c r="F24" s="37" t="s">
        <v>47</v>
      </c>
      <c r="G24" s="19"/>
      <c r="H24" s="38"/>
    </row>
    <row r="25" ht="15.75" customHeight="1">
      <c r="A25" s="36" t="s">
        <v>48</v>
      </c>
      <c r="B25" s="19"/>
      <c r="C25" s="19"/>
      <c r="D25" s="20"/>
      <c r="E25" s="33">
        <v>10000.0</v>
      </c>
      <c r="F25" s="37"/>
      <c r="G25" s="19"/>
      <c r="H25" s="38"/>
    </row>
    <row r="26" ht="15.75" customHeight="1">
      <c r="A26" s="36" t="s">
        <v>49</v>
      </c>
      <c r="B26" s="19"/>
      <c r="C26" s="19"/>
      <c r="D26" s="20"/>
      <c r="E26" s="33">
        <v>10000.0</v>
      </c>
      <c r="F26" s="39"/>
      <c r="G26" s="40"/>
      <c r="H26" s="41"/>
    </row>
    <row r="27" ht="15.75" customHeight="1">
      <c r="A27" s="36" t="s">
        <v>50</v>
      </c>
      <c r="B27" s="19"/>
      <c r="C27" s="19"/>
      <c r="D27" s="20"/>
      <c r="E27" s="33">
        <v>10000.0</v>
      </c>
      <c r="F27" s="26" t="s">
        <v>51</v>
      </c>
      <c r="G27" s="27"/>
      <c r="H27" s="28"/>
    </row>
    <row r="28" ht="15.75" customHeight="1">
      <c r="A28" s="36" t="s">
        <v>52</v>
      </c>
      <c r="B28" s="19"/>
      <c r="C28" s="19"/>
      <c r="D28" s="20"/>
      <c r="E28" s="33">
        <v>10000.0</v>
      </c>
      <c r="F28" s="34" t="s">
        <v>53</v>
      </c>
      <c r="G28" s="31"/>
      <c r="H28" s="35"/>
    </row>
    <row r="29" ht="15.75" customHeight="1">
      <c r="A29" s="36" t="s">
        <v>54</v>
      </c>
      <c r="B29" s="19"/>
      <c r="C29" s="19"/>
      <c r="D29" s="20"/>
      <c r="E29" s="33">
        <v>10000.0</v>
      </c>
      <c r="F29" s="37" t="s">
        <v>30</v>
      </c>
      <c r="G29" s="19"/>
      <c r="H29" s="38"/>
    </row>
    <row r="30" ht="15.75" customHeight="1">
      <c r="A30" s="36" t="s">
        <v>55</v>
      </c>
      <c r="B30" s="19"/>
      <c r="C30" s="19"/>
      <c r="D30" s="20"/>
      <c r="E30" s="33">
        <v>10000.0</v>
      </c>
      <c r="F30" s="37" t="s">
        <v>56</v>
      </c>
      <c r="G30" s="19"/>
      <c r="H30" s="38"/>
    </row>
    <row r="31" ht="15.75" customHeight="1">
      <c r="A31" s="36" t="s">
        <v>57</v>
      </c>
      <c r="B31" s="19"/>
      <c r="C31" s="19"/>
      <c r="D31" s="20"/>
      <c r="E31" s="33">
        <v>10000.0</v>
      </c>
      <c r="F31" s="37" t="s">
        <v>35</v>
      </c>
      <c r="G31" s="19"/>
      <c r="H31" s="38"/>
    </row>
    <row r="32" ht="15.75" customHeight="1">
      <c r="A32" s="36" t="s">
        <v>58</v>
      </c>
      <c r="B32" s="19"/>
      <c r="C32" s="19"/>
      <c r="D32" s="20"/>
      <c r="E32" s="33">
        <v>10000.0</v>
      </c>
      <c r="F32" s="37" t="s">
        <v>59</v>
      </c>
      <c r="G32" s="19"/>
      <c r="H32" s="38"/>
    </row>
    <row r="33" ht="15.75" customHeight="1">
      <c r="A33" s="36"/>
      <c r="B33" s="19"/>
      <c r="C33" s="19"/>
      <c r="D33" s="20"/>
      <c r="E33" s="42"/>
      <c r="F33" s="37" t="s">
        <v>60</v>
      </c>
      <c r="G33" s="19"/>
      <c r="H33" s="38"/>
    </row>
    <row r="34" ht="15.75" customHeight="1">
      <c r="A34" s="36"/>
      <c r="B34" s="19"/>
      <c r="C34" s="19"/>
      <c r="D34" s="20"/>
      <c r="E34" s="42"/>
      <c r="F34" s="37"/>
      <c r="G34" s="19"/>
      <c r="H34" s="38"/>
    </row>
    <row r="35" ht="15.75" customHeight="1">
      <c r="A35" s="36"/>
      <c r="B35" s="19"/>
      <c r="C35" s="19"/>
      <c r="D35" s="20"/>
      <c r="E35" s="42"/>
      <c r="F35" s="37"/>
      <c r="G35" s="19"/>
      <c r="H35" s="38"/>
    </row>
    <row r="36" ht="15.75" customHeight="1">
      <c r="A36" s="36"/>
      <c r="B36" s="19"/>
      <c r="C36" s="19"/>
      <c r="D36" s="20"/>
      <c r="E36" s="42"/>
      <c r="F36" s="37"/>
      <c r="G36" s="19"/>
      <c r="H36" s="38"/>
    </row>
    <row r="37" ht="15.75" customHeight="1">
      <c r="A37" s="36"/>
      <c r="B37" s="19"/>
      <c r="C37" s="19"/>
      <c r="D37" s="20"/>
      <c r="E37" s="42"/>
      <c r="F37" s="37"/>
      <c r="G37" s="19"/>
      <c r="H37" s="38"/>
    </row>
    <row r="38" ht="15.75" customHeight="1">
      <c r="A38" s="43"/>
      <c r="B38" s="19"/>
      <c r="C38" s="19"/>
      <c r="D38" s="20"/>
      <c r="E38" s="42"/>
      <c r="F38" s="44" t="s">
        <v>61</v>
      </c>
      <c r="G38" s="27"/>
      <c r="H38" s="28"/>
    </row>
    <row r="39" ht="15.75" customHeight="1">
      <c r="A39" s="43"/>
      <c r="B39" s="19"/>
      <c r="C39" s="19"/>
      <c r="D39" s="20"/>
      <c r="E39" s="42"/>
      <c r="F39" s="45" t="s">
        <v>62</v>
      </c>
      <c r="G39" s="46"/>
      <c r="H39" s="47"/>
    </row>
    <row r="40" ht="15.75" customHeight="1">
      <c r="A40" s="36"/>
      <c r="B40" s="19"/>
      <c r="C40" s="19"/>
      <c r="D40" s="20"/>
      <c r="E40" s="42"/>
      <c r="F40" s="37" t="s">
        <v>63</v>
      </c>
      <c r="G40" s="19"/>
      <c r="H40" s="38"/>
    </row>
    <row r="41" ht="15.75" customHeight="1">
      <c r="A41" s="36"/>
      <c r="B41" s="19"/>
      <c r="C41" s="19"/>
      <c r="D41" s="20"/>
      <c r="E41" s="42"/>
      <c r="F41" s="37"/>
      <c r="G41" s="19"/>
      <c r="H41" s="38"/>
    </row>
    <row r="42" ht="15.75" customHeight="1">
      <c r="A42" s="43"/>
      <c r="B42" s="19"/>
      <c r="C42" s="19"/>
      <c r="D42" s="20"/>
      <c r="E42" s="42"/>
      <c r="F42" s="37"/>
      <c r="G42" s="19"/>
      <c r="H42" s="38"/>
    </row>
    <row r="43" ht="15.75" customHeight="1">
      <c r="A43" s="48"/>
      <c r="B43" s="49"/>
      <c r="C43" s="49"/>
      <c r="D43" s="50"/>
      <c r="E43" s="51"/>
      <c r="F43" s="52"/>
      <c r="G43" s="49"/>
      <c r="H43" s="53"/>
    </row>
    <row r="44" ht="15.75" customHeight="1"/>
    <row r="45" ht="15.75" customHeight="1">
      <c r="F45" s="54" t="s">
        <v>64</v>
      </c>
      <c r="G45" s="55"/>
      <c r="H45" s="56">
        <f>SUM(E16:E43)</f>
        <v>170000</v>
      </c>
    </row>
    <row r="46" ht="15.75" customHeight="1">
      <c r="F46" s="36" t="s">
        <v>65</v>
      </c>
      <c r="G46" s="20"/>
      <c r="H46" s="57">
        <v>980000.0</v>
      </c>
    </row>
    <row r="47" ht="15.75" customHeight="1">
      <c r="F47" s="36" t="s">
        <v>66</v>
      </c>
      <c r="G47" s="20"/>
      <c r="H47" s="57">
        <f>SUM(H45:H46)</f>
        <v>1150000</v>
      </c>
    </row>
    <row r="48" ht="15.75" customHeight="1">
      <c r="F48" s="58" t="s">
        <v>67</v>
      </c>
      <c r="G48" s="59">
        <v>0.19</v>
      </c>
      <c r="H48" s="57">
        <f>H47*G48</f>
        <v>218500</v>
      </c>
    </row>
    <row r="49" ht="15.75" customHeight="1">
      <c r="F49" s="48" t="s">
        <v>68</v>
      </c>
      <c r="G49" s="50"/>
      <c r="H49" s="57">
        <f>sum(H47:H48)</f>
        <v>1368500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24:D24"/>
    <mergeCell ref="A25:D25"/>
    <mergeCell ref="A26:D26"/>
    <mergeCell ref="A27:D27"/>
    <mergeCell ref="A28:D28"/>
    <mergeCell ref="A29:D29"/>
    <mergeCell ref="A30:D30"/>
    <mergeCell ref="A38:D38"/>
    <mergeCell ref="A39:D39"/>
    <mergeCell ref="A40:D40"/>
    <mergeCell ref="A41:D41"/>
    <mergeCell ref="A42:D42"/>
    <mergeCell ref="A43:D43"/>
    <mergeCell ref="A31:D31"/>
    <mergeCell ref="A32:D32"/>
    <mergeCell ref="A33:D33"/>
    <mergeCell ref="A34:D34"/>
    <mergeCell ref="A35:D35"/>
    <mergeCell ref="A36:D36"/>
    <mergeCell ref="A37:D37"/>
    <mergeCell ref="F32:H32"/>
    <mergeCell ref="F33:H33"/>
    <mergeCell ref="F34:H34"/>
    <mergeCell ref="F35:H35"/>
    <mergeCell ref="F36:H36"/>
    <mergeCell ref="F37:H37"/>
    <mergeCell ref="F38:H38"/>
    <mergeCell ref="F47:G47"/>
    <mergeCell ref="F49:G49"/>
    <mergeCell ref="F39:H39"/>
    <mergeCell ref="F40:H40"/>
    <mergeCell ref="F41:H41"/>
    <mergeCell ref="F42:H42"/>
    <mergeCell ref="F43:H43"/>
    <mergeCell ref="F45:G45"/>
    <mergeCell ref="F46:G46"/>
    <mergeCell ref="C1:F1"/>
    <mergeCell ref="D2:E2"/>
    <mergeCell ref="D3:E3"/>
    <mergeCell ref="G3:H3"/>
    <mergeCell ref="D4:E4"/>
    <mergeCell ref="G4:H4"/>
    <mergeCell ref="F5:H5"/>
    <mergeCell ref="G11:H11"/>
    <mergeCell ref="G12:H12"/>
    <mergeCell ref="D6:E6"/>
    <mergeCell ref="B7:C7"/>
    <mergeCell ref="B8:D8"/>
    <mergeCell ref="B10:E10"/>
    <mergeCell ref="G10:H10"/>
    <mergeCell ref="B11:E11"/>
    <mergeCell ref="B12:C12"/>
    <mergeCell ref="B13:C13"/>
    <mergeCell ref="G13:H13"/>
    <mergeCell ref="A15:D15"/>
    <mergeCell ref="F15:H15"/>
    <mergeCell ref="A16:D16"/>
    <mergeCell ref="F16:H16"/>
    <mergeCell ref="F17:H17"/>
    <mergeCell ref="A17:D17"/>
    <mergeCell ref="A18:D18"/>
    <mergeCell ref="A19:D19"/>
    <mergeCell ref="A20:D20"/>
    <mergeCell ref="A21:D21"/>
    <mergeCell ref="A22:D22"/>
    <mergeCell ref="A23:D23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</mergeCells>
  <printOptions/>
  <pageMargins bottom="0.46875" footer="0.0" header="0.0" left="0.23958333333333334" right="0.13541666666666666" top="0.312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</cp:coreProperties>
</file>